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>
    <definedName name="LAST_FIRSTAID">Board!$I$4</definedName>
    <definedName name="LAST_INCIDENT">Board!$J$4</definedName>
    <definedName name="ATTAIN_MAINT">Board!$F$8</definedName>
    <definedName name="ATTAIN_LOAD">Board!$H$8</definedName>
    <definedName name="ATTAIN_INV">Board!$I$8</definedName>
    <definedName name="ATTAIN_ASSY">Board!$J$8</definedName>
    <definedName name="QUALITY_FAB">Board!$C$9</definedName>
    <definedName name="QUALITY_WELD">Board!$D$9</definedName>
    <definedName name="QUALITY_PAINT">Board!$E$9</definedName>
    <definedName name="QUALITY_MAINT">Board!$F$9</definedName>
    <definedName name="QUALITY_TANKS">Board!$G$9</definedName>
    <definedName name="QUALITY_INV">Board!$I$9</definedName>
    <definedName name="QUALITY_ASSY">Board!$J$9</definedName>
    <definedName name="EFF_MAINT">Board!$F$10</definedName>
    <definedName name="EFF_INV">Board!$I$10</definedName>
    <definedName name="EFF_ASSY">Board!$J$10</definedName>
    <definedName name="OT_FAB">Board!$C$11</definedName>
    <definedName name="OT_WELD">Board!$D$11</definedName>
    <definedName name="OT_PAINT">Board!$E$11</definedName>
    <definedName name="OT_MAINT">Board!$F$11</definedName>
    <definedName name="OT_TANKS">Board!$G$11</definedName>
    <definedName name="OT_LOAD">Board!$H$11</definedName>
    <definedName name="OT_INV">Board!$I$11</definedName>
    <definedName name="OT_ASSY">Board!$J$11</definedName>
    <definedName name="FIVE_S_FAB">Board!$C$12</definedName>
    <definedName name="FIVE_S_WELD">Board!$D$12</definedName>
    <definedName name="FIVE_S_PAINT">Board!$E$12</definedName>
    <definedName name="FIVE_S_MAINT">Board!$F$12</definedName>
    <definedName name="FIVE_S_TANKS">Board!$G$12</definedName>
    <definedName name="FIVE_S_LOAD">Board!$H$12</definedName>
    <definedName name="FIVE_S_INV">Board!$I$12</definedName>
    <definedName name="FIVE_S_ASSY">Board!$J$12</definedName>
    <definedName name="HEAD_MAINT">Board!$F$13</definedName>
    <definedName name="HEAD_LOAD">Board!$H$13</definedName>
    <definedName name="HEAD_INV">Board!$I$13</definedName>
    <definedName name="HEAD_ASSY">Board!$J$13</definedName>
    <definedName name="ISSUES_FAB">Board!$C$14</definedName>
    <definedName name="ISSUES_WELD">Board!$D$14</definedName>
    <definedName name="ISSUES_PAINT">Board!$E$14</definedName>
    <definedName name="ISSUES_MAINT">Board!$F$14</definedName>
    <definedName name="ISSUES_TANKS">Board!$G$14</definedName>
    <definedName name="ISSUES_LOAD">Board!$H$14</definedName>
    <definedName name="ISSUES_INV">Board!$I$14</definedName>
    <definedName name="ISSUES_ASSY">Board!$J$14</definedName>
    <definedName name="UPDATED_FAB">Board!$C$15</definedName>
    <definedName name="UPDATED_WELD">Board!$D$15</definedName>
    <definedName name="UPDATED_PAINT">Board!$E$15</definedName>
    <definedName name="UPDATED_MAINT">Board!$F$15</definedName>
    <definedName name="UPDATED_TANKS">Board!$G$15</definedName>
    <definedName name="UPDATED_LOAD">Board!$H$15</definedName>
    <definedName name="UPDATED_INV">Board!$I$15</definedName>
    <definedName name="UPDATED_ASSY">Board!$J$15</definedName>
    <definedName name="GFP_ORDERS">Board!$C$21</definedName>
    <definedName name="GFP_FORECAST">Board!$D$21</definedName>
    <definedName name="TANK_ORDERS">Board!$C$22</definedName>
    <definedName name="TANK_FORECAST">Board!$D$22</definedName>
    <definedName name="TOPSIX_PART_1">Board!$E$20</definedName>
    <definedName name="TOPSIX_QTY_1">Board!$F$20</definedName>
    <definedName name="TOPSIX_PART_2">Board!$E$21</definedName>
    <definedName name="TOPSIX_QTY_2">Board!$F$21</definedName>
    <definedName name="TOPSIX_PART_3">Board!$E$22</definedName>
    <definedName name="TOPSIX_QTY_3">Board!$F$22</definedName>
    <definedName name="TOPSIX_PART_4">Board!$E$23</definedName>
    <definedName name="TOPSIX_QTY_4">Board!$F$23</definedName>
    <definedName name="TOPSIX_PART_5">Board!$E$24</definedName>
    <definedName name="TOPSIX_QTY_5">Board!$F$24</definedName>
    <definedName name="TOPSIX_PART_6">Board!$E$25</definedName>
    <definedName name="TOPSIX_QTY_6">Board!$F$25</definedName>
    <definedName name="TOPTANKS_PART_1">Board!$I$20</definedName>
    <definedName name="TOPTANKS_QTY_1">Board!$J$20</definedName>
    <definedName name="TOPTANKS_PART_2">Board!$I$21</definedName>
    <definedName name="TOPTANKS_QTY_2">Board!$J$21</definedName>
    <definedName name="TOPTANKS_PART_3">Board!$I$22</definedName>
    <definedName name="TOPTANKS_QTY_3">Board!$J$22</definedName>
    <definedName name="TOPTANKS_PART_4">Board!$I$23</definedName>
    <definedName name="TOPTANKS_QTY_4">Board!$J$23</definedName>
    <definedName name="TOPTANKS_PART_5">Board!$I$24</definedName>
    <definedName name="TOPTANKS_QTY_5">Board!$J$24</definedName>
    <definedName name="TOPTANKS_PART_6">Board!$I$25</definedName>
    <definedName name="TOPTANKS_QTY_6">Board!$J$25</definedName>
    <definedName name="_xlnm.Print_Area" localSheetId="0">'Board'!$A$1:$K$25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0.#"/>
    <numFmt numFmtId="166" formatCode="mm/dd"/>
  </numFmts>
  <fonts count="16">
    <font>
      <name val="Calibri"/>
      <family val="2"/>
      <color theme="1"/>
      <sz val="11"/>
      <scheme val="minor"/>
    </font>
    <font>
      <name val="Arial"/>
      <b val="1"/>
      <color rgb="001F2937"/>
      <sz val="26"/>
    </font>
    <font>
      <name val="Arial"/>
      <color rgb="006B7280"/>
      <sz val="11"/>
    </font>
    <font>
      <name val="Arial"/>
      <b val="1"/>
      <color rgb="006B7280"/>
      <sz val="14"/>
    </font>
    <font>
      <name val="Arial"/>
      <b val="1"/>
      <color rgb="006B7280"/>
      <sz val="8"/>
    </font>
    <font>
      <name val="Arial"/>
      <b val="1"/>
      <color rgb="001F2937"/>
      <sz val="24"/>
    </font>
    <font>
      <name val="Arial"/>
      <b val="1"/>
      <color rgb="001F2937"/>
      <sz val="10"/>
    </font>
    <font>
      <name val="Arial"/>
      <i val="1"/>
      <color rgb="006B7280"/>
      <sz val="8"/>
    </font>
    <font>
      <name val="Arial"/>
      <b val="1"/>
      <color rgb="00D32026"/>
      <sz val="11"/>
    </font>
    <font>
      <name val="Arial"/>
      <b val="1"/>
      <color rgb="006B7280"/>
      <sz val="10"/>
    </font>
    <font>
      <name val="Arial"/>
      <b val="1"/>
      <color rgb="001F2937"/>
      <sz val="11"/>
    </font>
    <font>
      <name val="Arial"/>
      <b val="1"/>
      <color rgb="001F2937"/>
      <sz val="18"/>
    </font>
    <font>
      <name val="Arial"/>
      <b val="1"/>
      <color rgb="001F2937"/>
      <sz val="9"/>
    </font>
    <font>
      <name val="Arial"/>
      <i val="1"/>
      <color rgb="006B7280"/>
      <sz val="9"/>
    </font>
    <font>
      <name val="Arial"/>
      <b val="1"/>
      <color rgb="006B7280"/>
      <sz val="11"/>
    </font>
    <font>
      <name val="Arial"/>
      <b val="1"/>
      <color rgb="001F2937"/>
      <sz val="14"/>
    </font>
  </fonts>
  <fills count="6">
    <fill>
      <patternFill/>
    </fill>
    <fill>
      <patternFill patternType="gray125"/>
    </fill>
    <fill>
      <patternFill patternType="solid">
        <fgColor rgb="00D32026"/>
        <bgColor rgb="00D32026"/>
      </patternFill>
    </fill>
    <fill>
      <patternFill patternType="solid">
        <fgColor rgb="00E5E7EB"/>
        <bgColor rgb="00E5E7EB"/>
      </patternFill>
    </fill>
    <fill>
      <patternFill patternType="solid">
        <fgColor rgb="00FFF7D6"/>
        <bgColor rgb="00FFF7D6"/>
      </patternFill>
    </fill>
    <fill>
      <patternFill patternType="solid">
        <fgColor rgb="00F3F4F6"/>
        <bgColor rgb="00F3F4F6"/>
      </patternFill>
    </fill>
  </fills>
  <borders count="11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medium">
        <color rgb="00D32026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164" fontId="6" fillId="4" borderId="1" applyAlignment="1" applyProtection="1" pivotButton="0" quotePrefix="0" xfId="0">
      <alignment horizontal="center" vertical="center" wrapText="1"/>
      <protection locked="0" hidden="0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 indent="1"/>
    </xf>
    <xf numFmtId="9" fontId="11" fillId="4" borderId="1" applyAlignment="1" applyProtection="1" pivotButton="0" quotePrefix="0" xfId="0">
      <alignment horizontal="center" vertical="center" wrapText="1"/>
      <protection locked="0" hidden="0"/>
    </xf>
    <xf numFmtId="165" fontId="11" fillId="4" borderId="1" applyAlignment="1" applyProtection="1" pivotButton="0" quotePrefix="0" xfId="0">
      <alignment horizontal="center" vertical="center" wrapText="1"/>
      <protection locked="0" hidden="0"/>
    </xf>
    <xf numFmtId="0" fontId="11" fillId="4" borderId="1" applyAlignment="1" applyProtection="1" pivotButton="0" quotePrefix="0" xfId="0">
      <alignment horizontal="center" vertical="center" wrapText="1"/>
      <protection locked="0" hidden="0"/>
    </xf>
    <xf numFmtId="49" fontId="11" fillId="4" borderId="1" applyAlignment="1" applyProtection="1" pivotButton="0" quotePrefix="0" xfId="0">
      <alignment horizontal="center" vertical="center" wrapText="1"/>
      <protection locked="0" hidden="0"/>
    </xf>
    <xf numFmtId="0" fontId="10" fillId="4" borderId="1" applyAlignment="1" applyProtection="1" pivotButton="0" quotePrefix="0" xfId="0">
      <alignment horizontal="center" vertical="center" wrapText="1"/>
      <protection locked="0" hidden="0"/>
    </xf>
    <xf numFmtId="0" fontId="12" fillId="5" borderId="1" applyAlignment="1" pivotButton="0" quotePrefix="0" xfId="0">
      <alignment horizontal="left" vertical="center" wrapText="1" indent="1"/>
    </xf>
    <xf numFmtId="166" fontId="6" fillId="4" borderId="1" applyAlignment="1" applyProtection="1" pivotButton="0" quotePrefix="0" xfId="0">
      <alignment horizontal="center" vertical="center" wrapText="1"/>
      <protection locked="0" hidden="0"/>
    </xf>
    <xf numFmtId="0" fontId="13" fillId="0" borderId="0" applyAlignment="1" pivotButton="0" quotePrefix="0" xfId="0">
      <alignment vertical="center" wrapText="1"/>
    </xf>
    <xf numFmtId="0" fontId="14" fillId="0" borderId="0" pivotButton="0" quotePrefix="0" xfId="0"/>
    <xf numFmtId="0" fontId="1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 wrapText="1"/>
    </xf>
    <xf numFmtId="0" fontId="10" fillId="5" borderId="1" applyAlignment="1" pivotButton="0" quotePrefix="0" xfId="0">
      <alignment vertical="center" indent="1"/>
    </xf>
    <xf numFmtId="3" fontId="10" fillId="4" borderId="1" applyAlignment="1" applyProtection="1" pivotButton="0" quotePrefix="0" xfId="0">
      <alignment horizontal="center" vertical="center" wrapText="1"/>
      <protection locked="0" hidden="0"/>
    </xf>
    <xf numFmtId="0" fontId="0" fillId="0" borderId="1" pivotButton="0" quotePrefix="0" xfId="0"/>
    <xf numFmtId="3" fontId="15" fillId="4" borderId="1" applyAlignment="1" applyProtection="1" pivotButton="0" quotePrefix="0" xfId="0">
      <alignment horizontal="center" vertical="center" wrapText="1"/>
      <protection locked="0" hidden="0"/>
    </xf>
    <xf numFmtId="164" fontId="6" fillId="4" borderId="1" applyAlignment="1" applyProtection="1" pivotButton="0" quotePrefix="0" xfId="0">
      <alignment horizontal="center" vertical="center" wrapText="1"/>
      <protection locked="0" hidden="0"/>
    </xf>
    <xf numFmtId="0" fontId="0" fillId="0" borderId="10" pivotButton="0" quotePrefix="0" xfId="0"/>
    <xf numFmtId="0" fontId="0" fillId="0" borderId="5" pivotButton="0" quotePrefix="0" xfId="0"/>
    <xf numFmtId="165" fontId="11" fillId="4" borderId="1" applyAlignment="1" applyProtection="1" pivotButton="0" quotePrefix="0" xfId="0">
      <alignment horizontal="center" vertical="center" wrapText="1"/>
      <protection locked="0" hidden="0"/>
    </xf>
    <xf numFmtId="166" fontId="6" fillId="4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dxfs count="7">
    <dxf>
      <font>
        <color rgb="0015803D"/>
      </font>
      <fill>
        <patternFill patternType="solid">
          <fgColor rgb="00C6EFCE"/>
          <bgColor rgb="00C6EFCE"/>
        </patternFill>
      </fill>
    </dxf>
    <dxf>
      <font>
        <color rgb="00A16207"/>
      </font>
      <fill>
        <patternFill patternType="solid">
          <fgColor rgb="00FFEB9C"/>
          <bgColor rgb="00FFEB9C"/>
        </patternFill>
      </fill>
    </dxf>
    <dxf>
      <font>
        <color rgb="00B91C1C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  <color rgb="00B91C1C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32026"/>
    <outlinePr summaryBelow="1" summaryRight="1"/>
    <pageSetUpPr fitToPage="1"/>
  </sheetPr>
  <dimension ref="B1:J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.5" customWidth="1" min="3" max="3"/>
    <col width="16.5" customWidth="1" min="4" max="4"/>
    <col width="16.5" customWidth="1" min="5" max="5"/>
    <col width="16.5" customWidth="1" min="6" max="6"/>
    <col width="16.5" customWidth="1" min="7" max="7"/>
    <col width="16.5" customWidth="1" min="8" max="8"/>
    <col width="16.5" customWidth="1" min="9" max="9"/>
    <col width="16.5" customWidth="1" min="10" max="10"/>
    <col width="2" customWidth="1" min="11" max="11"/>
  </cols>
  <sheetData>
    <row r="1" ht="6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B2" s="2" t="inlineStr">
        <is>
          <t>DAILY PRODUCTION BOARD</t>
        </is>
      </c>
      <c r="H2" s="3" t="inlineStr">
        <is>
          <t>AUTO</t>
        </is>
      </c>
      <c r="I2" s="4">
        <f>IF(I4="","",TODAY()-I4)</f>
        <v/>
      </c>
      <c r="J2" s="4">
        <f>IF(J4="","",TODAY()-J4)</f>
        <v/>
      </c>
    </row>
    <row r="3" ht="22" customHeight="1">
      <c r="H3" s="5" t="inlineStr">
        <is>
          <t>DAYS WITHOUT
RECORDABLE</t>
        </is>
      </c>
      <c r="I3" s="5" t="inlineStr">
        <is>
          <t>DAYS WITHOUT
FIRST AID</t>
        </is>
      </c>
      <c r="J3" s="5" t="inlineStr">
        <is>
          <t>DAYS WITHOUT
INCIDENT</t>
        </is>
      </c>
    </row>
    <row r="4" ht="18" customHeight="1">
      <c r="B4" s="6">
        <f>"Reporting day: "&amp;TEXT(WORKDAY(TODAY(),-1),"ddd mm/dd/yyyy")&amp;"   ·   Meeting 8:30 AM"</f>
        <v/>
      </c>
      <c r="G4" s="7" t="inlineStr">
        <is>
          <t>Last event date →</t>
        </is>
      </c>
      <c r="H4" s="8" t="inlineStr">
        <is>
          <t>TV Board Info</t>
        </is>
      </c>
      <c r="I4" s="29" t="n">
        <v>46293</v>
      </c>
      <c r="J4" s="29" t="n">
        <v>45757</v>
      </c>
    </row>
    <row r="5" ht="22" customHeight="1">
      <c r="B5" s="10" t="inlineStr">
        <is>
          <t>SAFETY TOPIC</t>
        </is>
      </c>
      <c r="C5" s="11" t="inlineStr">
        <is>
          <t>AUTO · Toolbox Topics tab in TV Board Info.xlsx</t>
        </is>
      </c>
      <c r="D5" s="30" t="n"/>
      <c r="E5" s="30" t="n"/>
      <c r="F5" s="30" t="n"/>
      <c r="G5" s="30" t="n"/>
      <c r="H5" s="30" t="n"/>
      <c r="I5" s="30" t="n"/>
      <c r="J5" s="31" t="n"/>
    </row>
    <row r="6" ht="8" customHeight="1"/>
    <row r="7" ht="24" customHeight="1">
      <c r="C7" s="12" t="inlineStr">
        <is>
          <t>FABRICATION</t>
        </is>
      </c>
      <c r="D7" s="12" t="inlineStr">
        <is>
          <t>WELDING</t>
        </is>
      </c>
      <c r="E7" s="12" t="inlineStr">
        <is>
          <t>PAINT LINE</t>
        </is>
      </c>
      <c r="F7" s="12" t="inlineStr">
        <is>
          <t>MAINTENANCE</t>
        </is>
      </c>
      <c r="G7" s="12" t="inlineStr">
        <is>
          <t>TANK PLANT</t>
        </is>
      </c>
      <c r="H7" s="12" t="inlineStr">
        <is>
          <t>LOADING/YARD</t>
        </is>
      </c>
      <c r="I7" s="12" t="inlineStr">
        <is>
          <t>INVENTORY</t>
        </is>
      </c>
      <c r="J7" s="12" t="inlineStr">
        <is>
          <t>ASSEMBLY</t>
        </is>
      </c>
    </row>
    <row r="8" ht="40" customHeight="1">
      <c r="B8" s="13" t="inlineStr">
        <is>
          <t>SCHEDULE
ATTAINMENT</t>
        </is>
      </c>
      <c r="C8" s="11" t="inlineStr">
        <is>
          <t>AUTO</t>
        </is>
      </c>
      <c r="D8" s="11" t="inlineStr">
        <is>
          <t>AUTO</t>
        </is>
      </c>
      <c r="E8" s="11" t="inlineStr">
        <is>
          <t>AUTO</t>
        </is>
      </c>
      <c r="F8" s="14" t="n">
        <v>0.57</v>
      </c>
      <c r="G8" s="11" t="inlineStr">
        <is>
          <t>AUTO</t>
        </is>
      </c>
      <c r="H8" s="14" t="n">
        <v>0.9399999999999999</v>
      </c>
      <c r="I8" s="14" t="n"/>
      <c r="J8" s="14" t="n"/>
    </row>
    <row r="9" ht="40" customHeight="1">
      <c r="B9" s="13" t="inlineStr">
        <is>
          <t>QUALITY</t>
        </is>
      </c>
      <c r="C9" s="14" t="n">
        <v>0.99</v>
      </c>
      <c r="D9" s="14" t="n">
        <v>0.48</v>
      </c>
      <c r="E9" s="14" t="n"/>
      <c r="F9" s="14" t="n"/>
      <c r="G9" s="14" t="n"/>
      <c r="H9" s="11" t="inlineStr">
        <is>
          <t>AUTO</t>
        </is>
      </c>
      <c r="I9" s="14" t="inlineStr">
        <is>
          <t>Yes</t>
        </is>
      </c>
      <c r="J9" s="14" t="n"/>
    </row>
    <row r="10" ht="40" customHeight="1">
      <c r="B10" s="13" t="inlineStr">
        <is>
          <t>EFFICIENCIES</t>
        </is>
      </c>
      <c r="C10" s="11" t="inlineStr">
        <is>
          <t>AUTO</t>
        </is>
      </c>
      <c r="D10" s="11" t="inlineStr">
        <is>
          <t>AUTO</t>
        </is>
      </c>
      <c r="E10" s="11" t="inlineStr">
        <is>
          <t>AUTO</t>
        </is>
      </c>
      <c r="F10" s="14" t="n"/>
      <c r="G10" s="11" t="inlineStr">
        <is>
          <t>AUTO</t>
        </is>
      </c>
      <c r="H10" s="11" t="inlineStr">
        <is>
          <t>AUTO</t>
        </is>
      </c>
      <c r="I10" s="14" t="n"/>
      <c r="J10" s="14" t="inlineStr">
        <is>
          <t>Yes</t>
        </is>
      </c>
    </row>
    <row r="11" ht="40" customHeight="1">
      <c r="B11" s="13" t="inlineStr">
        <is>
          <t>OT (HOURS)</t>
        </is>
      </c>
      <c r="C11" s="32" t="n">
        <v>0</v>
      </c>
      <c r="D11" s="32" t="n">
        <v>2.5</v>
      </c>
      <c r="E11" s="32" t="n"/>
      <c r="F11" s="32" t="n"/>
      <c r="G11" s="32" t="n"/>
      <c r="H11" s="32" t="n"/>
      <c r="I11" s="32" t="n"/>
      <c r="J11" s="32" t="n">
        <v>5</v>
      </c>
    </row>
    <row r="12" ht="40" customHeight="1">
      <c r="B12" s="13" t="inlineStr">
        <is>
          <t>5S</t>
        </is>
      </c>
      <c r="C12" s="16" t="inlineStr">
        <is>
          <t>Good</t>
        </is>
      </c>
      <c r="D12" s="16" t="inlineStr">
        <is>
          <t>Improve</t>
        </is>
      </c>
      <c r="E12" s="16" t="n"/>
      <c r="F12" s="16" t="n"/>
      <c r="G12" s="16" t="n"/>
      <c r="H12" s="16" t="n"/>
      <c r="I12" s="16" t="n"/>
      <c r="J12" s="16" t="n"/>
    </row>
    <row r="13" ht="40" customHeight="1">
      <c r="B13" s="13" t="inlineStr">
        <is>
          <t>HEADCOUNT
(present/expected)</t>
        </is>
      </c>
      <c r="C13" s="11" t="inlineStr">
        <is>
          <t>AUTO</t>
        </is>
      </c>
      <c r="D13" s="11" t="inlineStr">
        <is>
          <t>AUTO</t>
        </is>
      </c>
      <c r="E13" s="11" t="inlineStr">
        <is>
          <t>AUTO</t>
        </is>
      </c>
      <c r="F13" s="17" t="inlineStr">
        <is>
          <t>2/2</t>
        </is>
      </c>
      <c r="G13" s="11" t="inlineStr">
        <is>
          <t>AUTO</t>
        </is>
      </c>
      <c r="H13" s="17" t="inlineStr">
        <is>
          <t>7/8</t>
        </is>
      </c>
      <c r="I13" s="17" t="n"/>
      <c r="J13" s="17" t="n"/>
    </row>
    <row r="14" ht="40" customHeight="1">
      <c r="B14" s="13" t="inlineStr">
        <is>
          <t>MAINT. ISSUES</t>
        </is>
      </c>
      <c r="C14" s="18" t="n"/>
      <c r="D14" s="18" t="n"/>
      <c r="E14" s="18" t="n"/>
      <c r="F14" s="18" t="inlineStr">
        <is>
          <t>FI 243, FI 195</t>
        </is>
      </c>
      <c r="G14" s="18" t="n"/>
      <c r="H14" s="18" t="n"/>
      <c r="I14" s="18" t="n"/>
      <c r="J14" s="18" t="n"/>
    </row>
    <row r="15" ht="22" customHeight="1">
      <c r="B15" s="19" t="inlineStr">
        <is>
          <t>LAST UPDATED</t>
        </is>
      </c>
      <c r="C15" s="33" t="n">
        <v>46302</v>
      </c>
      <c r="D15" s="33" t="n">
        <v>46300</v>
      </c>
      <c r="E15" s="33" t="n"/>
      <c r="F15" s="33" t="n">
        <v>46301</v>
      </c>
      <c r="G15" s="33" t="n"/>
      <c r="H15" s="33" t="n"/>
      <c r="I15" s="33" t="n"/>
      <c r="J15" s="33" t="n"/>
    </row>
    <row r="16" ht="26" customHeight="1">
      <c r="B16" s="21" t="inlineStr">
        <is>
          <t>Yellow = type here (what the board should show)   ·   Grey AUTO = the dashboard already reads it from the department Excel files   ·   LAST UPDATED turns red until you put today's date (Ctrl + ;)</t>
        </is>
      </c>
    </row>
    <row r="17" ht="10" customHeight="1"/>
    <row r="18" ht="22" customHeight="1">
      <c r="B18" s="22" t="inlineStr">
        <is>
          <t>PRODUCTION NEEDS</t>
        </is>
      </c>
      <c r="E18" s="22" t="inlineStr">
        <is>
          <t>TOP SIX</t>
        </is>
      </c>
      <c r="F18" s="23">
        <f>IF(SUM(F20:F25)=0,"","Total "&amp;TEXT(SUM(F20:F25),"#,##0"))</f>
        <v/>
      </c>
      <c r="G18" s="22" t="inlineStr">
        <is>
          <t>TOP SHORTS</t>
        </is>
      </c>
      <c r="I18" s="22" t="inlineStr">
        <is>
          <t>TOP SIX TANKS</t>
        </is>
      </c>
      <c r="J18" s="23">
        <f>IF(SUM(J20:J25)=0,"","Total "&amp;TEXT(SUM(J20:J25),"#,##0"))</f>
        <v/>
      </c>
    </row>
    <row r="19">
      <c r="C19" s="24" t="inlineStr">
        <is>
          <t>ORDERS</t>
        </is>
      </c>
      <c r="D19" s="24" t="inlineStr">
        <is>
          <t>FORECAST</t>
        </is>
      </c>
      <c r="E19" s="24" t="inlineStr">
        <is>
          <t>PART</t>
        </is>
      </c>
      <c r="F19" s="24" t="inlineStr">
        <is>
          <t>QTY</t>
        </is>
      </c>
      <c r="I19" s="24" t="inlineStr">
        <is>
          <t>PART</t>
        </is>
      </c>
      <c r="J19" s="24" t="inlineStr">
        <is>
          <t>QTY</t>
        </is>
      </c>
    </row>
    <row r="20" ht="22" customHeight="1">
      <c r="B20" s="25" t="inlineStr">
        <is>
          <t>Plant adherence</t>
        </is>
      </c>
      <c r="C20" s="11" t="inlineStr">
        <is>
          <t>AUTO</t>
        </is>
      </c>
      <c r="D20" s="31" t="n"/>
      <c r="E20" s="18" t="inlineStr">
        <is>
          <t>ECBL12</t>
        </is>
      </c>
      <c r="F20" s="26" t="n">
        <v>3825</v>
      </c>
      <c r="G20" s="11" t="inlineStr">
        <is>
          <t>AUTO
Load Sign Off comments</t>
        </is>
      </c>
      <c r="H20" s="34" t="n"/>
      <c r="I20" s="18" t="inlineStr">
        <is>
          <t>WT214</t>
        </is>
      </c>
      <c r="J20" s="26" t="n">
        <v>244</v>
      </c>
    </row>
    <row r="21" ht="22" customHeight="1">
      <c r="B21" s="25" t="inlineStr">
        <is>
          <t>GFP</t>
        </is>
      </c>
      <c r="C21" s="28" t="n">
        <v>5248</v>
      </c>
      <c r="D21" s="28" t="n">
        <v>3814</v>
      </c>
      <c r="E21" s="18" t="inlineStr">
        <is>
          <t>BHTB</t>
        </is>
      </c>
      <c r="F21" s="26" t="n">
        <v>324</v>
      </c>
      <c r="G21" s="35" t="n"/>
      <c r="H21" s="36" t="n"/>
      <c r="I21" s="18" t="n"/>
      <c r="J21" s="26" t="n"/>
    </row>
    <row r="22" ht="22" customHeight="1">
      <c r="B22" s="25" t="inlineStr">
        <is>
          <t>Tank</t>
        </is>
      </c>
      <c r="C22" s="28" t="n"/>
      <c r="D22" s="28" t="n"/>
      <c r="E22" s="18" t="n"/>
      <c r="F22" s="26" t="n"/>
      <c r="G22" s="35" t="n"/>
      <c r="H22" s="36" t="n"/>
      <c r="I22" s="18" t="n"/>
      <c r="J22" s="26" t="n"/>
    </row>
    <row r="23" ht="22" customHeight="1">
      <c r="E23" s="18" t="n"/>
      <c r="F23" s="26" t="n"/>
      <c r="G23" s="35" t="n"/>
      <c r="H23" s="36" t="n"/>
      <c r="I23" s="18" t="n"/>
      <c r="J23" s="26" t="n"/>
    </row>
    <row r="24" ht="22" customHeight="1">
      <c r="E24" s="18" t="n"/>
      <c r="F24" s="26" t="n"/>
      <c r="G24" s="35" t="n"/>
      <c r="H24" s="36" t="n"/>
      <c r="I24" s="18" t="n"/>
      <c r="J24" s="26" t="n"/>
    </row>
    <row r="25" ht="22" customHeight="1">
      <c r="E25" s="18" t="n"/>
      <c r="F25" s="26" t="n"/>
      <c r="G25" s="37" t="n"/>
      <c r="H25" s="38" t="n"/>
      <c r="I25" s="18" t="n"/>
      <c r="J25" s="2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5">
    <mergeCell ref="C20:D20"/>
    <mergeCell ref="G20:H25"/>
    <mergeCell ref="B2:F3"/>
    <mergeCell ref="C5:J5"/>
    <mergeCell ref="B16:J16"/>
  </mergeCells>
  <conditionalFormatting sqref="F8">
    <cfRule type="expression" priority="1" dxfId="0">
      <formula>AND(ISNUMBER(F8),F8&gt;=0.95)</formula>
    </cfRule>
    <cfRule type="expression" priority="2" dxfId="1">
      <formula>AND(ISNUMBER(F8),F8&gt;=0.85,F8&lt;0.95)</formula>
    </cfRule>
    <cfRule type="expression" priority="3" dxfId="2">
      <formula>AND(ISNUMBER(F8),F8&lt;0.85)</formula>
    </cfRule>
    <cfRule type="expression" priority="4" dxfId="0">
      <formula>OR(F8="Yes",F8="✓")</formula>
    </cfRule>
    <cfRule type="expression" priority="5" dxfId="2">
      <formula>OR(F8="No",F8="✗")</formula>
    </cfRule>
  </conditionalFormatting>
  <conditionalFormatting sqref="H8">
    <cfRule type="expression" priority="6" dxfId="0">
      <formula>AND(ISNUMBER(H8),H8&gt;=0.95)</formula>
    </cfRule>
    <cfRule type="expression" priority="7" dxfId="1">
      <formula>AND(ISNUMBER(H8),H8&gt;=0.85,H8&lt;0.95)</formula>
    </cfRule>
    <cfRule type="expression" priority="8" dxfId="2">
      <formula>AND(ISNUMBER(H8),H8&lt;0.85)</formula>
    </cfRule>
    <cfRule type="expression" priority="9" dxfId="0">
      <formula>OR(H8="Yes",H8="✓")</formula>
    </cfRule>
    <cfRule type="expression" priority="10" dxfId="2">
      <formula>OR(H8="No",H8="✗")</formula>
    </cfRule>
  </conditionalFormatting>
  <conditionalFormatting sqref="I8">
    <cfRule type="expression" priority="11" dxfId="0">
      <formula>AND(ISNUMBER(I8),I8&gt;=0.95)</formula>
    </cfRule>
    <cfRule type="expression" priority="12" dxfId="1">
      <formula>AND(ISNUMBER(I8),I8&gt;=0.85,I8&lt;0.95)</formula>
    </cfRule>
    <cfRule type="expression" priority="13" dxfId="2">
      <formula>AND(ISNUMBER(I8),I8&lt;0.85)</formula>
    </cfRule>
    <cfRule type="expression" priority="14" dxfId="0">
      <formula>OR(I8="Yes",I8="✓")</formula>
    </cfRule>
    <cfRule type="expression" priority="15" dxfId="2">
      <formula>OR(I8="No",I8="✗")</formula>
    </cfRule>
  </conditionalFormatting>
  <conditionalFormatting sqref="J8">
    <cfRule type="expression" priority="16" dxfId="0">
      <formula>AND(ISNUMBER(J8),J8&gt;=0.95)</formula>
    </cfRule>
    <cfRule type="expression" priority="17" dxfId="1">
      <formula>AND(ISNUMBER(J8),J8&gt;=0.85,J8&lt;0.95)</formula>
    </cfRule>
    <cfRule type="expression" priority="18" dxfId="2">
      <formula>AND(ISNUMBER(J8),J8&lt;0.85)</formula>
    </cfRule>
    <cfRule type="expression" priority="19" dxfId="0">
      <formula>OR(J8="Yes",J8="✓")</formula>
    </cfRule>
    <cfRule type="expression" priority="20" dxfId="2">
      <formula>OR(J8="No",J8="✗")</formula>
    </cfRule>
  </conditionalFormatting>
  <conditionalFormatting sqref="C9">
    <cfRule type="expression" priority="21" dxfId="0">
      <formula>AND(ISNUMBER(C9),C9&gt;=0.95)</formula>
    </cfRule>
    <cfRule type="expression" priority="22" dxfId="1">
      <formula>AND(ISNUMBER(C9),C9&gt;=0.85,C9&lt;0.95)</formula>
    </cfRule>
    <cfRule type="expression" priority="23" dxfId="2">
      <formula>AND(ISNUMBER(C9),C9&lt;0.85)</formula>
    </cfRule>
    <cfRule type="expression" priority="24" dxfId="0">
      <formula>OR(C9="Yes",C9="✓")</formula>
    </cfRule>
    <cfRule type="expression" priority="25" dxfId="2">
      <formula>OR(C9="No",C9="✗")</formula>
    </cfRule>
  </conditionalFormatting>
  <conditionalFormatting sqref="D9">
    <cfRule type="expression" priority="26" dxfId="0">
      <formula>AND(ISNUMBER(D9),D9&gt;=0.95)</formula>
    </cfRule>
    <cfRule type="expression" priority="27" dxfId="1">
      <formula>AND(ISNUMBER(D9),D9&gt;=0.85,D9&lt;0.95)</formula>
    </cfRule>
    <cfRule type="expression" priority="28" dxfId="2">
      <formula>AND(ISNUMBER(D9),D9&lt;0.85)</formula>
    </cfRule>
    <cfRule type="expression" priority="29" dxfId="0">
      <formula>OR(D9="Yes",D9="✓")</formula>
    </cfRule>
    <cfRule type="expression" priority="30" dxfId="2">
      <formula>OR(D9="No",D9="✗")</formula>
    </cfRule>
  </conditionalFormatting>
  <conditionalFormatting sqref="E9">
    <cfRule type="expression" priority="31" dxfId="0">
      <formula>AND(ISNUMBER(E9),E9&gt;=0.95)</formula>
    </cfRule>
    <cfRule type="expression" priority="32" dxfId="1">
      <formula>AND(ISNUMBER(E9),E9&gt;=0.85,E9&lt;0.95)</formula>
    </cfRule>
    <cfRule type="expression" priority="33" dxfId="2">
      <formula>AND(ISNUMBER(E9),E9&lt;0.85)</formula>
    </cfRule>
    <cfRule type="expression" priority="34" dxfId="0">
      <formula>OR(E9="Yes",E9="✓")</formula>
    </cfRule>
    <cfRule type="expression" priority="35" dxfId="2">
      <formula>OR(E9="No",E9="✗")</formula>
    </cfRule>
  </conditionalFormatting>
  <conditionalFormatting sqref="F9">
    <cfRule type="expression" priority="36" dxfId="0">
      <formula>AND(ISNUMBER(F9),F9&gt;=0.95)</formula>
    </cfRule>
    <cfRule type="expression" priority="37" dxfId="1">
      <formula>AND(ISNUMBER(F9),F9&gt;=0.85,F9&lt;0.95)</formula>
    </cfRule>
    <cfRule type="expression" priority="38" dxfId="2">
      <formula>AND(ISNUMBER(F9),F9&lt;0.85)</formula>
    </cfRule>
    <cfRule type="expression" priority="39" dxfId="0">
      <formula>OR(F9="Yes",F9="✓")</formula>
    </cfRule>
    <cfRule type="expression" priority="40" dxfId="2">
      <formula>OR(F9="No",F9="✗")</formula>
    </cfRule>
  </conditionalFormatting>
  <conditionalFormatting sqref="G9">
    <cfRule type="expression" priority="41" dxfId="0">
      <formula>AND(ISNUMBER(G9),G9&gt;=0.95)</formula>
    </cfRule>
    <cfRule type="expression" priority="42" dxfId="1">
      <formula>AND(ISNUMBER(G9),G9&gt;=0.85,G9&lt;0.95)</formula>
    </cfRule>
    <cfRule type="expression" priority="43" dxfId="2">
      <formula>AND(ISNUMBER(G9),G9&lt;0.85)</formula>
    </cfRule>
    <cfRule type="expression" priority="44" dxfId="0">
      <formula>OR(G9="Yes",G9="✓")</formula>
    </cfRule>
    <cfRule type="expression" priority="45" dxfId="2">
      <formula>OR(G9="No",G9="✗")</formula>
    </cfRule>
  </conditionalFormatting>
  <conditionalFormatting sqref="I9">
    <cfRule type="expression" priority="46" dxfId="0">
      <formula>AND(ISNUMBER(I9),I9&gt;=0.95)</formula>
    </cfRule>
    <cfRule type="expression" priority="47" dxfId="1">
      <formula>AND(ISNUMBER(I9),I9&gt;=0.85,I9&lt;0.95)</formula>
    </cfRule>
    <cfRule type="expression" priority="48" dxfId="2">
      <formula>AND(ISNUMBER(I9),I9&lt;0.85)</formula>
    </cfRule>
    <cfRule type="expression" priority="49" dxfId="0">
      <formula>OR(I9="Yes",I9="✓")</formula>
    </cfRule>
    <cfRule type="expression" priority="50" dxfId="2">
      <formula>OR(I9="No",I9="✗")</formula>
    </cfRule>
  </conditionalFormatting>
  <conditionalFormatting sqref="J9">
    <cfRule type="expression" priority="51" dxfId="0">
      <formula>AND(ISNUMBER(J9),J9&gt;=0.95)</formula>
    </cfRule>
    <cfRule type="expression" priority="52" dxfId="1">
      <formula>AND(ISNUMBER(J9),J9&gt;=0.85,J9&lt;0.95)</formula>
    </cfRule>
    <cfRule type="expression" priority="53" dxfId="2">
      <formula>AND(ISNUMBER(J9),J9&lt;0.85)</formula>
    </cfRule>
    <cfRule type="expression" priority="54" dxfId="0">
      <formula>OR(J9="Yes",J9="✓")</formula>
    </cfRule>
    <cfRule type="expression" priority="55" dxfId="2">
      <formula>OR(J9="No",J9="✗")</formula>
    </cfRule>
  </conditionalFormatting>
  <conditionalFormatting sqref="F10">
    <cfRule type="expression" priority="56" dxfId="0">
      <formula>AND(ISNUMBER(F10),F10&gt;=0.95)</formula>
    </cfRule>
    <cfRule type="expression" priority="57" dxfId="1">
      <formula>AND(ISNUMBER(F10),F10&gt;=0.85,F10&lt;0.95)</formula>
    </cfRule>
    <cfRule type="expression" priority="58" dxfId="2">
      <formula>AND(ISNUMBER(F10),F10&lt;0.85)</formula>
    </cfRule>
    <cfRule type="expression" priority="59" dxfId="0">
      <formula>OR(F10="Yes",F10="✓")</formula>
    </cfRule>
    <cfRule type="expression" priority="60" dxfId="2">
      <formula>OR(F10="No",F10="✗")</formula>
    </cfRule>
  </conditionalFormatting>
  <conditionalFormatting sqref="I10">
    <cfRule type="expression" priority="61" dxfId="0">
      <formula>AND(ISNUMBER(I10),I10&gt;=0.95)</formula>
    </cfRule>
    <cfRule type="expression" priority="62" dxfId="1">
      <formula>AND(ISNUMBER(I10),I10&gt;=0.85,I10&lt;0.95)</formula>
    </cfRule>
    <cfRule type="expression" priority="63" dxfId="2">
      <formula>AND(ISNUMBER(I10),I10&lt;0.85)</formula>
    </cfRule>
    <cfRule type="expression" priority="64" dxfId="0">
      <formula>OR(I10="Yes",I10="✓")</formula>
    </cfRule>
    <cfRule type="expression" priority="65" dxfId="2">
      <formula>OR(I10="No",I10="✗")</formula>
    </cfRule>
  </conditionalFormatting>
  <conditionalFormatting sqref="J10">
    <cfRule type="expression" priority="66" dxfId="0">
      <formula>AND(ISNUMBER(J10),J10&gt;=0.95)</formula>
    </cfRule>
    <cfRule type="expression" priority="67" dxfId="1">
      <formula>AND(ISNUMBER(J10),J10&gt;=0.85,J10&lt;0.95)</formula>
    </cfRule>
    <cfRule type="expression" priority="68" dxfId="2">
      <formula>AND(ISNUMBER(J10),J10&lt;0.85)</formula>
    </cfRule>
    <cfRule type="expression" priority="69" dxfId="0">
      <formula>OR(J10="Yes",J10="✓")</formula>
    </cfRule>
    <cfRule type="expression" priority="70" dxfId="2">
      <formula>OR(J10="No",J10="✗")</formula>
    </cfRule>
  </conditionalFormatting>
  <conditionalFormatting sqref="C12:J12">
    <cfRule type="cellIs" priority="71" operator="equal" dxfId="3">
      <formula>"Good"</formula>
    </cfRule>
    <cfRule type="cellIs" priority="72" operator="equal" dxfId="4">
      <formula>"Improve"</formula>
    </cfRule>
    <cfRule type="cellIs" priority="73" operator="equal" dxfId="5">
      <formula>"Critical"</formula>
    </cfRule>
  </conditionalFormatting>
  <conditionalFormatting sqref="C15:J15">
    <cfRule type="expression" priority="74" dxfId="6">
      <formula>OR(C15="",C15&lt;TODAY())</formula>
    </cfRule>
  </conditionalFormatting>
  <dataValidations count="7">
    <dataValidation sqref="C15 D15 E15 F15 G15 H15 I4 I15 J4 J15" showDropDown="0" showInputMessage="1" showErrorMessage="1" allowBlank="0" errorTitle="Date" error="Enter a date (Ctrl + ; for today)." promptTitle="Last updated" prompt="Date you updated this column. Ctrl + ; types today's date." type="date" operator="greaterThan">
      <formula1>45658</formula1>
    </dataValidation>
    <dataValidation sqref="C9 D9 E9 F8 F9 F10 G9 H8 I8 I9 I10 J8 J9 J10" showDropDown="0" showInputMessage="1" showErrorMessage="1" allowBlank="0" promptTitle="Percent or check" prompt="Type the number (97 shows as 97%), or Yes / No if the area only tracks goal met." type="custom">
      <formula1>TRUE</formula1>
    </dataValidation>
    <dataValidation sqref="C11 D11 E11 F11 G11 H11 I11 J11" showDropDown="0" showInputMessage="1" showErrorMessage="1" allowBlank="0" errorTitle="OT hours" error="Enter OT hours (0 or more)." promptTitle="OT hours" prompt="Total overtime hours for the area. Type 0 if none." type="decimal" operator="between">
      <formula1>0</formula1>
      <formula2>2000</formula2>
    </dataValidation>
    <dataValidation sqref="C12 D12 E12 F12 G12 H12 I12 J12" showDropDown="0" showInputMessage="1" showErrorMessage="1" allowBlank="0" errorTitle="5S" error="Pick Good, Improve or Critical." promptTitle="5S" prompt="Pick Good, Improve or Critical." type="list">
      <formula1>"Good,Improve,Critical"</formula1>
    </dataValidation>
    <dataValidation sqref="F13 H13 I13 J13" showDropDown="0" showInputMessage="1" showErrorMessage="1" allowBlank="0" promptTitle="Headcount" prompt="Type present/expected, e.g. 7/8." type="custom">
      <formula1>TRUE</formula1>
    </dataValidation>
    <dataValidation sqref="C14 D14 E14 E20 E21 E22 E23 E24 E25 F14 G14 H14 I14 I20 I21 I22 I23 I24 I25 J14" showDropDown="0" showInputMessage="1" showErrorMessage="1" allowBlank="0" promptTitle="Maint. issues" prompt="Ticket numbers or a short note, e.g. FI 243 - press 2 hydraulic leak." type="custom">
      <formula1>TRUE</formula1>
    </dataValidation>
    <dataValidation sqref="C21 C22 D21 D22 F20 F21 F22 F23 F24 F25 J20 J21 J22 J23 J24 J25" showDropDown="0" showInputMessage="0" showErrorMessage="1" allowBlank="0" errorTitle="Quantity" error="Enter a whole number." type="whole" operator="greaterThanOrEqual">
      <formula1>0</formula1>
    </dataValidation>
  </dataValidation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2026-10-12T19:10:44Z</dcterms:created>
  <dcterms:modified xmlns:dcterms="http://purl.org/dc/terms/" xmlns:xsi="http://www.w3.org/2001/XMLSchema-instance" xsi:type="dcterms:W3CDTF">2026-10-12T19:10:44Z</dcterms:modified>
</cp:coreProperties>
</file>